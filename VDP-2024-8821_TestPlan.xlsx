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Matrix" sheetId="1" state="visible" r:id="rId1"/>
    <sheet xmlns:r="http://schemas.openxmlformats.org/officeDocument/2006/relationships" name="UMF Field Reference" sheetId="2" state="visible" r:id="rId2"/>
    <sheet xmlns:r="http://schemas.openxmlformats.org/officeDocument/2006/relationships" name="Co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1B5E20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FFFFFF"/>
      <sz val="12"/>
    </font>
    <font>
      <name val="Arial"/>
      <b val="1"/>
      <color rgb="001A237E"/>
      <sz val="9"/>
    </font>
    <font>
      <name val="Arial"/>
      <color rgb="00000000"/>
      <sz val="9"/>
    </font>
    <font>
      <name val="Arial"/>
      <b val="1"/>
      <color rgb="00BF360C"/>
      <sz val="9"/>
    </font>
    <font>
      <name val="Arial"/>
      <b val="1"/>
      <sz val="9"/>
    </font>
    <font>
      <name val="Arial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2" customWidth="1" min="4" max="4"/>
    <col width="10" customWidth="1" min="5" max="5"/>
    <col width="13" customWidth="1" min="6" max="6"/>
    <col width="22" customWidth="1" min="7" max="7"/>
    <col width="28" customWidth="1" min="8" max="8"/>
    <col width="30" customWidth="1" min="9" max="9"/>
    <col width="30" customWidth="1" min="10" max="10"/>
    <col width="32" customWidth="1" min="11" max="11"/>
    <col width="8" customWidth="1" min="12" max="12"/>
    <col width="28" customWidth="1" min="13" max="13"/>
  </cols>
  <sheetData>
    <row r="1" ht="30" customHeight="1">
      <c r="A1" s="1" t="inlineStr">
        <is>
          <t>VISA DIRECT PAYMENTS — VDP-2024-8821 — Test Plan Matrix</t>
        </is>
      </c>
    </row>
    <row r="2" ht="18" customHeight="1">
      <c r="A2" s="2" t="inlineStr">
        <is>
          <t>Feature: Dynamic Currency Conversion (DCC) Enhancement — UMF Field Validation</t>
        </is>
      </c>
    </row>
    <row r="3" ht="36" customHeight="1">
      <c r="A3" s="3" t="inlineStr">
        <is>
          <t>Test Case ID</t>
        </is>
      </c>
      <c r="B3" s="3" t="inlineStr">
        <is>
          <t>Test Case Name</t>
        </is>
      </c>
      <c r="C3" s="3" t="inlineStr">
        <is>
          <t>Test Type</t>
        </is>
      </c>
      <c r="D3" s="3" t="inlineStr">
        <is>
          <t>System</t>
        </is>
      </c>
      <c r="E3" s="3" t="inlineStr">
        <is>
          <t>UMF Number</t>
        </is>
      </c>
      <c r="F3" s="3" t="inlineStr">
        <is>
          <t>ISO Field (DE)</t>
        </is>
      </c>
      <c r="G3" s="3" t="inlineStr">
        <is>
          <t>Field Name</t>
        </is>
      </c>
      <c r="H3" s="3" t="inlineStr">
        <is>
          <t>Transaction Condition</t>
        </is>
      </c>
      <c r="I3" s="3" t="inlineStr">
        <is>
          <t>Input Value / Trigger</t>
        </is>
      </c>
      <c r="J3" s="3" t="inlineStr">
        <is>
          <t>Expected Field Value</t>
        </is>
      </c>
      <c r="K3" s="3" t="inlineStr">
        <is>
          <t>Expected Result</t>
        </is>
      </c>
      <c r="L3" s="3" t="inlineStr">
        <is>
          <t>Priority</t>
        </is>
      </c>
      <c r="M3" s="3" t="inlineStr">
        <is>
          <t>Notes</t>
        </is>
      </c>
    </row>
    <row r="4" ht="28" customHeight="1">
      <c r="A4" s="4" t="inlineStr">
        <is>
          <t>TC-001</t>
        </is>
      </c>
      <c r="B4" s="4" t="inlineStr">
        <is>
          <t>DCC Indicator Present in Auth Request</t>
        </is>
      </c>
      <c r="C4" s="4" t="inlineStr">
        <is>
          <t>Functional</t>
        </is>
      </c>
      <c r="D4" s="4" t="inlineStr">
        <is>
          <t>VIPA</t>
        </is>
      </c>
      <c r="E4" s="4" t="inlineStr">
        <is>
          <t>124</t>
        </is>
      </c>
      <c r="F4" s="4" t="inlineStr">
        <is>
          <t>DE 124</t>
        </is>
      </c>
      <c r="G4" s="4" t="inlineStr">
        <is>
          <t>DCC Indicator Flag</t>
        </is>
      </c>
      <c r="H4" s="4" t="inlineStr">
        <is>
          <t>Cardholder selects DCC at POS terminal</t>
        </is>
      </c>
      <c r="I4" s="4" t="inlineStr">
        <is>
          <t>DCC_FLAG=1; Currency=978 (EUR); Conversion Rate Present</t>
        </is>
      </c>
      <c r="J4" s="4" t="inlineStr">
        <is>
          <t>UMF_124 byte 3, bit 1 = 1B</t>
        </is>
      </c>
      <c r="K4" s="5" t="inlineStr">
        <is>
          <t>PASS — DCC indicator set correctly in outgoing auth</t>
        </is>
      </c>
      <c r="L4" s="6" t="inlineStr">
        <is>
          <t>P1</t>
        </is>
      </c>
      <c r="M4" s="4" t="inlineStr">
        <is>
          <t>Check Field 124 sub-element 03</t>
        </is>
      </c>
    </row>
    <row r="5" ht="28" customHeight="1">
      <c r="A5" s="7" t="inlineStr">
        <is>
          <t>TC-001B</t>
        </is>
      </c>
      <c r="B5" s="7" t="inlineStr">
        <is>
          <t>DCC Indicator Absent — Domestic Transaction</t>
        </is>
      </c>
      <c r="C5" s="7" t="inlineStr">
        <is>
          <t>Negative</t>
        </is>
      </c>
      <c r="D5" s="7" t="inlineStr">
        <is>
          <t>VIPA</t>
        </is>
      </c>
      <c r="E5" s="7" t="inlineStr">
        <is>
          <t>124</t>
        </is>
      </c>
      <c r="F5" s="7" t="inlineStr">
        <is>
          <t>DE 124</t>
        </is>
      </c>
      <c r="G5" s="7" t="inlineStr">
        <is>
          <t>DCC Indicator Flag</t>
        </is>
      </c>
      <c r="H5" s="7" t="inlineStr">
        <is>
          <t>Cardholder pays in local currency; no DCC</t>
        </is>
      </c>
      <c r="I5" s="7" t="inlineStr">
        <is>
          <t>DCC_FLAG=0; Currency=840 (USD)</t>
        </is>
      </c>
      <c r="J5" s="7" t="inlineStr">
        <is>
          <t>UMF_124 byte 3, bit 1 = 0B</t>
        </is>
      </c>
      <c r="K5" s="8" t="inlineStr">
        <is>
          <t>PASS — DCC indicator NOT set for domestic txn</t>
        </is>
      </c>
      <c r="L5" s="9" t="inlineStr">
        <is>
          <t>P2</t>
        </is>
      </c>
      <c r="M5" s="7" t="inlineStr">
        <is>
          <t>Negative test; bit must be absent</t>
        </is>
      </c>
    </row>
    <row r="6" ht="28" customHeight="1">
      <c r="A6" s="4" t="inlineStr">
        <is>
          <t>TC-002</t>
        </is>
      </c>
      <c r="B6" s="4" t="inlineStr">
        <is>
          <t>Settlement Currency Populated Correctly</t>
        </is>
      </c>
      <c r="C6" s="4" t="inlineStr">
        <is>
          <t>Functional</t>
        </is>
      </c>
      <c r="D6" s="4" t="inlineStr">
        <is>
          <t>VIPA</t>
        </is>
      </c>
      <c r="E6" s="4" t="inlineStr">
        <is>
          <t>62</t>
        </is>
      </c>
      <c r="F6" s="4" t="inlineStr">
        <is>
          <t>DE 62</t>
        </is>
      </c>
      <c r="G6" s="4" t="inlineStr">
        <is>
          <t>Settlement Data / Visa Additional Data</t>
        </is>
      </c>
      <c r="H6" s="4" t="inlineStr">
        <is>
          <t>Cross-border DCC transaction — EUR to USD</t>
        </is>
      </c>
      <c r="I6" s="4" t="inlineStr">
        <is>
          <t>Settlement currency = 840; Billing currency = 978</t>
        </is>
      </c>
      <c r="J6" s="4" t="inlineStr">
        <is>
          <t>DE62.1 = 840; DE62.2 = conversion rate 6-digit value</t>
        </is>
      </c>
      <c r="K6" s="5" t="inlineStr">
        <is>
          <t>PASS — settlement fields populated per DCC spec</t>
        </is>
      </c>
      <c r="L6" s="6" t="inlineStr">
        <is>
          <t>P1</t>
        </is>
      </c>
      <c r="M6" s="4" t="inlineStr">
        <is>
          <t>Rate must be present within 5 min post-activation</t>
        </is>
      </c>
    </row>
    <row r="7" ht="28" customHeight="1">
      <c r="A7" s="7" t="inlineStr">
        <is>
          <t>TC-002B</t>
        </is>
      </c>
      <c r="B7" s="7" t="inlineStr">
        <is>
          <t>Settlement Currency Missing — Expected Failure</t>
        </is>
      </c>
      <c r="C7" s="7" t="inlineStr">
        <is>
          <t>Negative</t>
        </is>
      </c>
      <c r="D7" s="7" t="inlineStr">
        <is>
          <t>VIPB</t>
        </is>
      </c>
      <c r="E7" s="7" t="inlineStr">
        <is>
          <t>62</t>
        </is>
      </c>
      <c r="F7" s="7" t="inlineStr">
        <is>
          <t>DE 62</t>
        </is>
      </c>
      <c r="G7" s="7" t="inlineStr">
        <is>
          <t>Settlement Data</t>
        </is>
      </c>
      <c r="H7" s="7" t="inlineStr">
        <is>
          <t>DCC flag=1 but no rate provided in request</t>
        </is>
      </c>
      <c r="I7" s="7" t="inlineStr">
        <is>
          <t>DE62.2 = null / absent</t>
        </is>
      </c>
      <c r="J7" s="7" t="inlineStr">
        <is>
          <t>Decline response; RC=05</t>
        </is>
      </c>
      <c r="K7" s="8" t="inlineStr">
        <is>
          <t>PASS — system correctly rejects incomplete DCC request</t>
        </is>
      </c>
      <c r="L7" s="10" t="inlineStr">
        <is>
          <t>P1</t>
        </is>
      </c>
      <c r="M7" s="7" t="inlineStr">
        <is>
          <t>Validates mandatory field enforcement</t>
        </is>
      </c>
    </row>
    <row r="8" ht="28" customHeight="1">
      <c r="A8" s="4" t="inlineStr">
        <is>
          <t>TC-003</t>
        </is>
      </c>
      <c r="B8" s="4" t="inlineStr">
        <is>
          <t>DCC Margin Fee Applied in Field 46</t>
        </is>
      </c>
      <c r="C8" s="4" t="inlineStr">
        <is>
          <t>Functional</t>
        </is>
      </c>
      <c r="D8" s="4" t="inlineStr">
        <is>
          <t>VIPC</t>
        </is>
      </c>
      <c r="E8" s="4" t="inlineStr">
        <is>
          <t>46</t>
        </is>
      </c>
      <c r="F8" s="4" t="inlineStr">
        <is>
          <t>DE 46</t>
        </is>
      </c>
      <c r="G8" s="4" t="inlineStr">
        <is>
          <t>Fees and Charges</t>
        </is>
      </c>
      <c r="H8" s="4" t="inlineStr">
        <is>
          <t>DCC transaction with 3.5% markup</t>
        </is>
      </c>
      <c r="I8" s="4" t="inlineStr">
        <is>
          <t>Conversion rate markup = 350 basis points</t>
        </is>
      </c>
      <c r="J8" s="4" t="inlineStr">
        <is>
          <t>UMF_46 sub-element 01 = 00350</t>
        </is>
      </c>
      <c r="K8" s="5" t="inlineStr">
        <is>
          <t>PASS — markup correctly encoded in fee field</t>
        </is>
      </c>
      <c r="L8" s="6" t="inlineStr">
        <is>
          <t>P1</t>
        </is>
      </c>
      <c r="M8" s="4" t="inlineStr">
        <is>
          <t>Sub-element 01 = markup in basis pts</t>
        </is>
      </c>
    </row>
    <row r="9" ht="28" customHeight="1">
      <c r="A9" s="7" t="inlineStr">
        <is>
          <t>TC-004</t>
        </is>
      </c>
      <c r="B9" s="7" t="inlineStr">
        <is>
          <t>Additional Data — DCC Provider Code</t>
        </is>
      </c>
      <c r="C9" s="7" t="inlineStr">
        <is>
          <t>Functional</t>
        </is>
      </c>
      <c r="D9" s="7" t="inlineStr">
        <is>
          <t>VIPA</t>
        </is>
      </c>
      <c r="E9" s="7" t="inlineStr">
        <is>
          <t>48</t>
        </is>
      </c>
      <c r="F9" s="7" t="inlineStr">
        <is>
          <t>DE 48</t>
        </is>
      </c>
      <c r="G9" s="7" t="inlineStr">
        <is>
          <t>Additional Data — Private Use</t>
        </is>
      </c>
      <c r="H9" s="7" t="inlineStr">
        <is>
          <t>DCC enabled merchant with registered provider</t>
        </is>
      </c>
      <c r="I9" s="7" t="inlineStr">
        <is>
          <t>Provider code = DP; Merchant DCC agreement ID present</t>
        </is>
      </c>
      <c r="J9" s="7" t="inlineStr">
        <is>
          <t>DE48 tag 22 = 'DP'; tag 23 = agreement ref</t>
        </is>
      </c>
      <c r="K9" s="8" t="inlineStr">
        <is>
          <t>PASS — provider codes set in DE48</t>
        </is>
      </c>
      <c r="L9" s="9" t="inlineStr">
        <is>
          <t>P2</t>
        </is>
      </c>
      <c r="M9" s="7" t="inlineStr">
        <is>
          <t>Tags 22 and 23 must both be present</t>
        </is>
      </c>
    </row>
    <row r="10" ht="28" customHeight="1">
      <c r="A10" s="4" t="inlineStr">
        <is>
          <t>TC-004B</t>
        </is>
      </c>
      <c r="B10" s="4" t="inlineStr">
        <is>
          <t>Additional Data — Unregistered DCC Provider</t>
        </is>
      </c>
      <c r="C10" s="4" t="inlineStr">
        <is>
          <t>Negative</t>
        </is>
      </c>
      <c r="D10" s="4" t="inlineStr">
        <is>
          <t>VIPI</t>
        </is>
      </c>
      <c r="E10" s="4" t="inlineStr">
        <is>
          <t>48</t>
        </is>
      </c>
      <c r="F10" s="4" t="inlineStr">
        <is>
          <t>DE 48</t>
        </is>
      </c>
      <c r="G10" s="4" t="inlineStr">
        <is>
          <t>Additional Data — Private Use</t>
        </is>
      </c>
      <c r="H10" s="4" t="inlineStr">
        <is>
          <t>Merchant not registered for DCC service</t>
        </is>
      </c>
      <c r="I10" s="4" t="inlineStr">
        <is>
          <t>Provider code absent or invalid</t>
        </is>
      </c>
      <c r="J10" s="4" t="inlineStr">
        <is>
          <t>RC=57 — Service Not Allowed</t>
        </is>
      </c>
      <c r="K10" s="5" t="inlineStr">
        <is>
          <t>PASS — transaction blocked for unregistered merchant</t>
        </is>
      </c>
      <c r="L10" s="6" t="inlineStr">
        <is>
          <t>P1</t>
        </is>
      </c>
      <c r="M10" s="4" t="inlineStr">
        <is>
          <t>Fraud prevention check</t>
        </is>
      </c>
    </row>
    <row r="11" ht="28" customHeight="1">
      <c r="A11" s="7" t="inlineStr">
        <is>
          <t>TC-005</t>
        </is>
      </c>
      <c r="B11" s="7" t="inlineStr">
        <is>
          <t>EMV Tag 9F26 Application Cryptogram Present</t>
        </is>
      </c>
      <c r="C11" s="7" t="inlineStr">
        <is>
          <t>Functional</t>
        </is>
      </c>
      <c r="D11" s="7" t="inlineStr">
        <is>
          <t>VIPA</t>
        </is>
      </c>
      <c r="E11" s="7" t="inlineStr">
        <is>
          <t>55</t>
        </is>
      </c>
      <c r="F11" s="7" t="inlineStr">
        <is>
          <t>DE 55</t>
        </is>
      </c>
      <c r="G11" s="7" t="inlineStr">
        <is>
          <t>ICC Data (Chip)</t>
        </is>
      </c>
      <c r="H11" s="7" t="inlineStr">
        <is>
          <t>Chip card DCC transaction</t>
        </is>
      </c>
      <c r="I11" s="7" t="inlineStr">
        <is>
          <t>EMV tags 9F26, 9F36, 82, 9C present</t>
        </is>
      </c>
      <c r="J11" s="7" t="inlineStr">
        <is>
          <t>DE55 contains 9F26 (8 bytes ARQC); 9F36 ATC incremented</t>
        </is>
      </c>
      <c r="K11" s="8" t="inlineStr">
        <is>
          <t>PASS — chip data intact; ARQC valid</t>
        </is>
      </c>
      <c r="L11" s="10" t="inlineStr">
        <is>
          <t>P1</t>
        </is>
      </c>
      <c r="M11" s="7" t="inlineStr">
        <is>
          <t>ATC must be greater than previous transaction</t>
        </is>
      </c>
    </row>
    <row r="12" ht="28" customHeight="1">
      <c r="A12" s="4" t="inlineStr">
        <is>
          <t>TC-005B</t>
        </is>
      </c>
      <c r="B12" s="4" t="inlineStr">
        <is>
          <t>EMV Fallback to Magstripe — DCC Allowed</t>
        </is>
      </c>
      <c r="C12" s="4" t="inlineStr">
        <is>
          <t>Functional</t>
        </is>
      </c>
      <c r="D12" s="4" t="inlineStr">
        <is>
          <t>VIPB</t>
        </is>
      </c>
      <c r="E12" s="4" t="inlineStr">
        <is>
          <t>55</t>
        </is>
      </c>
      <c r="F12" s="4" t="inlineStr">
        <is>
          <t>DE 55</t>
        </is>
      </c>
      <c r="G12" s="4" t="inlineStr">
        <is>
          <t>ICC Data (Chip)</t>
        </is>
      </c>
      <c r="H12" s="4" t="inlineStr">
        <is>
          <t>Chip failure; POS performs magstripe fallback</t>
        </is>
      </c>
      <c r="I12" s="4" t="inlineStr">
        <is>
          <t>Track 2 data present; DE55 absent</t>
        </is>
      </c>
      <c r="J12" s="4" t="inlineStr">
        <is>
          <t>DE22 = 802 (fallback indicator); DE55 = null</t>
        </is>
      </c>
      <c r="K12" s="5" t="inlineStr">
        <is>
          <t>PASS — fallback allowed; DCC indicator still valid</t>
        </is>
      </c>
      <c r="L12" s="11" t="inlineStr">
        <is>
          <t>P2</t>
        </is>
      </c>
      <c r="M12" s="4" t="inlineStr">
        <is>
          <t>Entry mode 80 required in DE22</t>
        </is>
      </c>
    </row>
    <row r="13" ht="28" customHeight="1">
      <c r="A13" s="7" t="inlineStr">
        <is>
          <t>TC-006</t>
        </is>
      </c>
      <c r="B13" s="7" t="inlineStr">
        <is>
          <t>POS Entry Mode — Contactless DCC</t>
        </is>
      </c>
      <c r="C13" s="7" t="inlineStr">
        <is>
          <t>Functional</t>
        </is>
      </c>
      <c r="D13" s="7" t="inlineStr">
        <is>
          <t>VIPC</t>
        </is>
      </c>
      <c r="E13" s="7" t="inlineStr">
        <is>
          <t>22</t>
        </is>
      </c>
      <c r="F13" s="7" t="inlineStr">
        <is>
          <t>DE 22</t>
        </is>
      </c>
      <c r="G13" s="7" t="inlineStr">
        <is>
          <t>POS Entry Mode</t>
        </is>
      </c>
      <c r="H13" s="7" t="inlineStr">
        <is>
          <t>Contactless NFC tap with DCC selection</t>
        </is>
      </c>
      <c r="I13" s="7" t="inlineStr">
        <is>
          <t>Contactless tap; cardholder selects DCC on reader</t>
        </is>
      </c>
      <c r="J13" s="7" t="inlineStr">
        <is>
          <t>DE22 = 071 (contactless chip) or 072 (contactless mag)</t>
        </is>
      </c>
      <c r="K13" s="8" t="inlineStr">
        <is>
          <t>PASS — correct contactless entry mode encoded</t>
        </is>
      </c>
      <c r="L13" s="9" t="inlineStr">
        <is>
          <t>P2</t>
        </is>
      </c>
      <c r="M13" s="7" t="inlineStr">
        <is>
          <t>Check against Visa POS Entry Mode spec</t>
        </is>
      </c>
    </row>
    <row r="14" ht="28" customHeight="1">
      <c r="A14" s="4" t="inlineStr">
        <is>
          <t>TC-007</t>
        </is>
      </c>
      <c r="B14" s="4" t="inlineStr">
        <is>
          <t>Processing Code — Purchase with DCC</t>
        </is>
      </c>
      <c r="C14" s="4" t="inlineStr">
        <is>
          <t>Functional</t>
        </is>
      </c>
      <c r="D14" s="4" t="inlineStr">
        <is>
          <t>VIPA</t>
        </is>
      </c>
      <c r="E14" s="4" t="inlineStr">
        <is>
          <t>3</t>
        </is>
      </c>
      <c r="F14" s="4" t="inlineStr">
        <is>
          <t>DE 3</t>
        </is>
      </c>
      <c r="G14" s="4" t="inlineStr">
        <is>
          <t>Processing Code</t>
        </is>
      </c>
      <c r="H14" s="4" t="inlineStr">
        <is>
          <t>Standard purchase; DCC opted in</t>
        </is>
      </c>
      <c r="I14" s="4" t="inlineStr">
        <is>
          <t>Transaction type = 00 (purchase); Account type = 00</t>
        </is>
      </c>
      <c r="J14" s="4" t="inlineStr">
        <is>
          <t>DE3 = 000000</t>
        </is>
      </c>
      <c r="K14" s="5" t="inlineStr">
        <is>
          <t>PASS — processing code unchanged by DCC</t>
        </is>
      </c>
      <c r="L14" s="6" t="inlineStr">
        <is>
          <t>P1</t>
        </is>
      </c>
      <c r="M14" s="4" t="inlineStr">
        <is>
          <t>DCC does not alter processing code</t>
        </is>
      </c>
    </row>
    <row r="15" ht="28" customHeight="1">
      <c r="A15" s="7" t="inlineStr">
        <is>
          <t>TC-008</t>
        </is>
      </c>
      <c r="B15" s="7" t="inlineStr">
        <is>
          <t>Transaction Amount in Cardholder Currency</t>
        </is>
      </c>
      <c r="C15" s="7" t="inlineStr">
        <is>
          <t>Functional</t>
        </is>
      </c>
      <c r="D15" s="7" t="inlineStr">
        <is>
          <t>VIPA</t>
        </is>
      </c>
      <c r="E15" s="7" t="inlineStr">
        <is>
          <t>4</t>
        </is>
      </c>
      <c r="F15" s="7" t="inlineStr">
        <is>
          <t>DE 4</t>
        </is>
      </c>
      <c r="G15" s="7" t="inlineStr">
        <is>
          <t>Amount, Transaction</t>
        </is>
      </c>
      <c r="H15" s="7" t="inlineStr">
        <is>
          <t>EUR purchase; DCC conversion to USD for settlement</t>
        </is>
      </c>
      <c r="I15" s="7" t="inlineStr">
        <is>
          <t>Cardholder amount = EUR 50.00; Rate = 1.0812</t>
        </is>
      </c>
      <c r="J15" s="7" t="inlineStr">
        <is>
          <t>DE4 = 000000005000 (EUR, 12 digits); DE6 = USD equivalent</t>
        </is>
      </c>
      <c r="K15" s="8" t="inlineStr">
        <is>
          <t>PASS — DE4 holds cardholder billing amount</t>
        </is>
      </c>
      <c r="L15" s="10" t="inlineStr">
        <is>
          <t>P1</t>
        </is>
      </c>
      <c r="M15" s="7" t="inlineStr">
        <is>
          <t>DE4 ≠ DE6; both must be populated</t>
        </is>
      </c>
    </row>
    <row r="16" ht="28" customHeight="1">
      <c r="A16" s="4" t="inlineStr">
        <is>
          <t>TC-009</t>
        </is>
      </c>
      <c r="B16" s="4" t="inlineStr">
        <is>
          <t>Cross-System DCC Consistency — VIPA to VIPB</t>
        </is>
      </c>
      <c r="C16" s="4" t="inlineStr">
        <is>
          <t>Integration</t>
        </is>
      </c>
      <c r="D16" s="4" t="inlineStr">
        <is>
          <t>VIPA, VIPB</t>
        </is>
      </c>
      <c r="E16" s="4" t="inlineStr">
        <is>
          <t>124, 62, 46</t>
        </is>
      </c>
      <c r="F16" s="4" t="inlineStr">
        <is>
          <t>DE 124, DE 62, DE 46</t>
        </is>
      </c>
      <c r="G16" s="4" t="inlineStr">
        <is>
          <t>Multiple DCC Fields</t>
        </is>
      </c>
      <c r="H16" s="4" t="inlineStr">
        <is>
          <t>Auth on VIPA; clearing on VIPB — DCC data persists</t>
        </is>
      </c>
      <c r="I16" s="4" t="inlineStr">
        <is>
          <t>Auth message with DCC fields; clearing follows same values</t>
        </is>
      </c>
      <c r="J16" s="4" t="inlineStr">
        <is>
          <t>All DCC fields identical in clearing vs auth</t>
        </is>
      </c>
      <c r="K16" s="5" t="inlineStr">
        <is>
          <t>PASS — no field mutation between auth and clearing</t>
        </is>
      </c>
      <c r="L16" s="6" t="inlineStr">
        <is>
          <t>P1</t>
        </is>
      </c>
      <c r="M16" s="4" t="inlineStr">
        <is>
          <t>Critical — data integrity check across systems</t>
        </is>
      </c>
    </row>
    <row r="17" ht="28" customHeight="1">
      <c r="A17" s="7" t="inlineStr">
        <is>
          <t>TC-010</t>
        </is>
      </c>
      <c r="B17" s="7" t="inlineStr">
        <is>
          <t>Non-DCC Transaction — No Field Contamination</t>
        </is>
      </c>
      <c r="C17" s="7" t="inlineStr">
        <is>
          <t>Regression</t>
        </is>
      </c>
      <c r="D17" s="7" t="inlineStr">
        <is>
          <t>VIPA</t>
        </is>
      </c>
      <c r="E17" s="7" t="inlineStr">
        <is>
          <t>124, 62, 46, 48</t>
        </is>
      </c>
      <c r="F17" s="7" t="inlineStr">
        <is>
          <t>DE 124, DE 62, DE 46, DE 48</t>
        </is>
      </c>
      <c r="G17" s="7" t="inlineStr">
        <is>
          <t>DCC Fields (all)</t>
        </is>
      </c>
      <c r="H17" s="7" t="inlineStr">
        <is>
          <t>Regular domestic USD purchase — DCC not offered</t>
        </is>
      </c>
      <c r="I17" s="7" t="inlineStr">
        <is>
          <t>No DCC fields present in request</t>
        </is>
      </c>
      <c r="J17" s="7" t="inlineStr">
        <is>
          <t>DE124 bit 1 = 0; DE62 DCC sub-el = absent; DE46 = absent</t>
        </is>
      </c>
      <c r="K17" s="8" t="inlineStr">
        <is>
          <t>PASS — no DCC contamination in standard transactions</t>
        </is>
      </c>
      <c r="L17" s="10" t="inlineStr">
        <is>
          <t>P1</t>
        </is>
      </c>
      <c r="M17" s="7" t="inlineStr">
        <is>
          <t>Regression — ensure new code doesn't add DCC fields to non-DCC txns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6" customWidth="1" min="4" max="4"/>
    <col width="44" customWidth="1" min="5" max="5"/>
    <col width="30" customWidth="1" min="6" max="6"/>
  </cols>
  <sheetData>
    <row r="1" ht="28" customHeight="1">
      <c r="A1" s="12" t="inlineStr">
        <is>
          <t>UMF Field Reference — DCC Feature VDP-2024-8821</t>
        </is>
      </c>
    </row>
    <row r="2" ht="22" customHeight="1">
      <c r="A2" s="13" t="inlineStr">
        <is>
          <t>UMF #</t>
        </is>
      </c>
      <c r="B2" s="13" t="inlineStr">
        <is>
          <t>ISO Field (DE)</t>
        </is>
      </c>
      <c r="C2" s="13" t="inlineStr">
        <is>
          <t>Field Name</t>
        </is>
      </c>
      <c r="D2" s="13" t="inlineStr">
        <is>
          <t>Format / Length</t>
        </is>
      </c>
      <c r="E2" s="13" t="inlineStr">
        <is>
          <t>Values / Notes</t>
        </is>
      </c>
      <c r="F2" s="13" t="inlineStr">
        <is>
          <t>DCC Relevance</t>
        </is>
      </c>
    </row>
    <row r="3" ht="20" customHeight="1">
      <c r="A3" s="14" t="n">
        <v>3</v>
      </c>
      <c r="B3" s="15" t="inlineStr">
        <is>
          <t>DE 3</t>
        </is>
      </c>
      <c r="C3" s="16" t="inlineStr">
        <is>
          <t>Processing Code</t>
        </is>
      </c>
      <c r="D3" s="16" t="inlineStr">
        <is>
          <t>n6</t>
        </is>
      </c>
      <c r="E3" s="16" t="inlineStr">
        <is>
          <t>000000=Purchase; 200000=Refund</t>
        </is>
      </c>
      <c r="F3" s="16" t="inlineStr">
        <is>
          <t>Unchanged by DCC</t>
        </is>
      </c>
    </row>
    <row r="4" ht="20" customHeight="1">
      <c r="A4" s="17" t="n">
        <v>4</v>
      </c>
      <c r="B4" s="18" t="inlineStr">
        <is>
          <t>DE 4</t>
        </is>
      </c>
      <c r="C4" s="19" t="inlineStr">
        <is>
          <t>Amount, Transaction</t>
        </is>
      </c>
      <c r="D4" s="19" t="inlineStr">
        <is>
          <t>n12</t>
        </is>
      </c>
      <c r="E4" s="19" t="inlineStr">
        <is>
          <t>Cardholder billing amount in cents</t>
        </is>
      </c>
      <c r="F4" s="19" t="inlineStr">
        <is>
          <t>Holds cardholder currency amount</t>
        </is>
      </c>
    </row>
    <row r="5" ht="20" customHeight="1">
      <c r="A5" s="14" t="n">
        <v>6</v>
      </c>
      <c r="B5" s="15" t="inlineStr">
        <is>
          <t>DE 6</t>
        </is>
      </c>
      <c r="C5" s="16" t="inlineStr">
        <is>
          <t>Amount, Cardholder Billing</t>
        </is>
      </c>
      <c r="D5" s="16" t="inlineStr">
        <is>
          <t>n12</t>
        </is>
      </c>
      <c r="E5" s="16" t="inlineStr">
        <is>
          <t>Billing amount after conversion</t>
        </is>
      </c>
      <c r="F5" s="16" t="inlineStr">
        <is>
          <t>Settlement currency amount</t>
        </is>
      </c>
    </row>
    <row r="6" ht="20" customHeight="1">
      <c r="A6" s="17" t="n">
        <v>22</v>
      </c>
      <c r="B6" s="18" t="inlineStr">
        <is>
          <t>DE 22</t>
        </is>
      </c>
      <c r="C6" s="19" t="inlineStr">
        <is>
          <t>POS Entry Mode</t>
        </is>
      </c>
      <c r="D6" s="19" t="inlineStr">
        <is>
          <t>n3</t>
        </is>
      </c>
      <c r="E6" s="19" t="inlineStr">
        <is>
          <t>051=Chip; 071=CTLS Chip; 802=Fallback</t>
        </is>
      </c>
      <c r="F6" s="19" t="inlineStr">
        <is>
          <t>Identifies contactless DCC</t>
        </is>
      </c>
    </row>
    <row r="7" ht="20" customHeight="1">
      <c r="A7" s="14" t="n">
        <v>25</v>
      </c>
      <c r="B7" s="15" t="inlineStr">
        <is>
          <t>DE 25</t>
        </is>
      </c>
      <c r="C7" s="16" t="inlineStr">
        <is>
          <t>POS Condition Code</t>
        </is>
      </c>
      <c r="D7" s="16" t="inlineStr">
        <is>
          <t>n2</t>
        </is>
      </c>
      <c r="E7" s="16" t="inlineStr">
        <is>
          <t>00=Normal; 08=Mail/Phone; 59=eCommerce</t>
        </is>
      </c>
      <c r="F7" s="16" t="inlineStr">
        <is>
          <t>Context for DCC eligibility</t>
        </is>
      </c>
    </row>
    <row r="8" ht="20" customHeight="1">
      <c r="A8" s="17" t="n">
        <v>46</v>
      </c>
      <c r="B8" s="18" t="inlineStr">
        <is>
          <t>DE 46</t>
        </is>
      </c>
      <c r="C8" s="19" t="inlineStr">
        <is>
          <t>Fees and Charges</t>
        </is>
      </c>
      <c r="D8" s="19" t="inlineStr">
        <is>
          <t>LLLVAR n..12</t>
        </is>
      </c>
      <c r="E8" s="19" t="inlineStr">
        <is>
          <t>Sub-el 01=Markup in basis points (e.g. 00350)</t>
        </is>
      </c>
      <c r="F8" s="19" t="inlineStr">
        <is>
          <t>DCC markup fee encoded here</t>
        </is>
      </c>
    </row>
    <row r="9" ht="20" customHeight="1">
      <c r="A9" s="14" t="n">
        <v>48</v>
      </c>
      <c r="B9" s="15" t="inlineStr">
        <is>
          <t>DE 48</t>
        </is>
      </c>
      <c r="C9" s="16" t="inlineStr">
        <is>
          <t>Additional Data — Private</t>
        </is>
      </c>
      <c r="D9" s="16" t="inlineStr">
        <is>
          <t>LLLVAR ..999</t>
        </is>
      </c>
      <c r="E9" s="16" t="inlineStr">
        <is>
          <t>Tag 22=Provider Code; Tag 23=Agreement ID</t>
        </is>
      </c>
      <c r="F9" s="16" t="inlineStr">
        <is>
          <t>DCC provider identification</t>
        </is>
      </c>
    </row>
    <row r="10" ht="20" customHeight="1">
      <c r="A10" s="17" t="n">
        <v>49</v>
      </c>
      <c r="B10" s="18" t="inlineStr">
        <is>
          <t>DE 49</t>
        </is>
      </c>
      <c r="C10" s="19" t="inlineStr">
        <is>
          <t>Currency Code, Transaction</t>
        </is>
      </c>
      <c r="D10" s="19" t="inlineStr">
        <is>
          <t>n3</t>
        </is>
      </c>
      <c r="E10" s="19" t="inlineStr">
        <is>
          <t>840=USD; 978=EUR; 826=GBP; 392=JPY</t>
        </is>
      </c>
      <c r="F10" s="19" t="inlineStr">
        <is>
          <t>Cardholder billing currency</t>
        </is>
      </c>
    </row>
    <row r="11" ht="20" customHeight="1">
      <c r="A11" s="14" t="n">
        <v>51</v>
      </c>
      <c r="B11" s="15" t="inlineStr">
        <is>
          <t>DE 51</t>
        </is>
      </c>
      <c r="C11" s="16" t="inlineStr">
        <is>
          <t>Currency Code, Cardholder</t>
        </is>
      </c>
      <c r="D11" s="16" t="inlineStr">
        <is>
          <t>n3</t>
        </is>
      </c>
      <c r="E11" s="16" t="inlineStr">
        <is>
          <t>840=USD; 978=EUR etc.</t>
        </is>
      </c>
      <c r="F11" s="16" t="inlineStr">
        <is>
          <t>Only present if different from DE49</t>
        </is>
      </c>
    </row>
    <row r="12" ht="20" customHeight="1">
      <c r="A12" s="17" t="n">
        <v>55</v>
      </c>
      <c r="B12" s="18" t="inlineStr">
        <is>
          <t>DE 55</t>
        </is>
      </c>
      <c r="C12" s="19" t="inlineStr">
        <is>
          <t>ICC Data (EMV Chip)</t>
        </is>
      </c>
      <c r="D12" s="19" t="inlineStr">
        <is>
          <t>LLLVAR b..255</t>
        </is>
      </c>
      <c r="E12" s="19" t="inlineStr">
        <is>
          <t>Tags: 9F26 ARQC; 9F36 ATC; 82 AIP; 9C TC</t>
        </is>
      </c>
      <c r="F12" s="19" t="inlineStr">
        <is>
          <t>Chip data; must survive DCC flow</t>
        </is>
      </c>
    </row>
    <row r="13" ht="20" customHeight="1">
      <c r="A13" s="14" t="n">
        <v>62</v>
      </c>
      <c r="B13" s="15" t="inlineStr">
        <is>
          <t>DE 62</t>
        </is>
      </c>
      <c r="C13" s="16" t="inlineStr">
        <is>
          <t>Additional Data — Visa</t>
        </is>
      </c>
      <c r="D13" s="16" t="inlineStr">
        <is>
          <t>LLLVAR ..255</t>
        </is>
      </c>
      <c r="E13" s="16" t="inlineStr">
        <is>
          <t>SE1=Settlement currency; SE2=Conv rate</t>
        </is>
      </c>
      <c r="F13" s="16" t="inlineStr">
        <is>
          <t>Core DCC settlement data</t>
        </is>
      </c>
    </row>
    <row r="14" ht="20" customHeight="1">
      <c r="A14" s="17" t="n">
        <v>63</v>
      </c>
      <c r="B14" s="18" t="inlineStr">
        <is>
          <t>DE 63</t>
        </is>
      </c>
      <c r="C14" s="19" t="inlineStr">
        <is>
          <t>Additional Data — Financial</t>
        </is>
      </c>
      <c r="D14" s="19" t="inlineStr">
        <is>
          <t>LLLVAR ..255</t>
        </is>
      </c>
      <c r="E14" s="19" t="inlineStr">
        <is>
          <t>Network-specific trace data</t>
        </is>
      </c>
      <c r="F14" s="19" t="inlineStr">
        <is>
          <t>Audit trail for DCC</t>
        </is>
      </c>
    </row>
    <row r="15" ht="20" customHeight="1">
      <c r="A15" s="20" t="n">
        <v>124</v>
      </c>
      <c r="B15" s="20" t="inlineStr">
        <is>
          <t>DE 124</t>
        </is>
      </c>
      <c r="C15" s="21" t="inlineStr">
        <is>
          <t>Member-Defined Data</t>
        </is>
      </c>
      <c r="D15" s="21" t="inlineStr">
        <is>
          <t>LLLVAR ..255</t>
        </is>
      </c>
      <c r="E15" s="21" t="inlineStr">
        <is>
          <t>Byte 3 Bit 1 = DCC Indicator</t>
        </is>
      </c>
      <c r="F15" s="21" t="inlineStr">
        <is>
          <t>PRIMARY DCC FLAG — must be set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36" customWidth="1" min="5" max="5"/>
    <col width="26" customWidth="1" min="6" max="6"/>
    <col width="14" customWidth="1" min="7" max="7"/>
  </cols>
  <sheetData>
    <row r="1" ht="28" customHeight="1">
      <c r="A1" s="12" t="inlineStr">
        <is>
          <t>Test Coverage Summary — VDP-2024-8821</t>
        </is>
      </c>
    </row>
    <row r="2" ht="22" customHeight="1">
      <c r="A2" s="13" t="inlineStr">
        <is>
          <t>System</t>
        </is>
      </c>
      <c r="B2" s="13" t="inlineStr">
        <is>
          <t>TC Count</t>
        </is>
      </c>
      <c r="C2" s="13" t="inlineStr">
        <is>
          <t>P1 Cases</t>
        </is>
      </c>
      <c r="D2" s="13" t="inlineStr">
        <is>
          <t>P2 Cases</t>
        </is>
      </c>
      <c r="E2" s="13" t="inlineStr">
        <is>
          <t>UMF Fields Covered</t>
        </is>
      </c>
      <c r="F2" s="13" t="inlineStr">
        <is>
          <t>Test Types</t>
        </is>
      </c>
      <c r="G2" s="13" t="inlineStr">
        <is>
          <t>Status</t>
        </is>
      </c>
    </row>
    <row r="3" ht="22" customHeight="1">
      <c r="A3" s="22" t="inlineStr">
        <is>
          <t>VIPA</t>
        </is>
      </c>
      <c r="B3" s="22">
        <f>COUNTIF('Test Plan Matrix'!D:D,"VIPA")</f>
        <v/>
      </c>
      <c r="C3" s="22" t="n">
        <v>6</v>
      </c>
      <c r="D3" s="22" t="n">
        <v>3</v>
      </c>
      <c r="E3" s="22" t="inlineStr">
        <is>
          <t>3, 4, 22, 46, 48, 55, 62, 124</t>
        </is>
      </c>
      <c r="F3" s="22" t="inlineStr">
        <is>
          <t>Functional, Negative, Regression</t>
        </is>
      </c>
      <c r="G3" s="22" t="inlineStr">
        <is>
          <t>✅ Covered</t>
        </is>
      </c>
    </row>
    <row r="4" ht="22" customHeight="1">
      <c r="A4" s="23" t="inlineStr">
        <is>
          <t>VIPB</t>
        </is>
      </c>
      <c r="B4" s="23">
        <f>COUNTIF('Test Plan Matrix'!D:D,"VIPB")</f>
        <v/>
      </c>
      <c r="C4" s="23" t="n">
        <v>2</v>
      </c>
      <c r="D4" s="23" t="n">
        <v>1</v>
      </c>
      <c r="E4" s="23" t="inlineStr">
        <is>
          <t>55, 62</t>
        </is>
      </c>
      <c r="F4" s="23" t="inlineStr">
        <is>
          <t>Functional, Negative</t>
        </is>
      </c>
      <c r="G4" s="23" t="inlineStr">
        <is>
          <t>✅ Covered</t>
        </is>
      </c>
    </row>
    <row r="5" ht="22" customHeight="1">
      <c r="A5" s="22" t="inlineStr">
        <is>
          <t>VIPC</t>
        </is>
      </c>
      <c r="B5" s="22">
        <f>COUNTIF('Test Plan Matrix'!D:D,"VIPC")</f>
        <v/>
      </c>
      <c r="C5" s="22" t="n">
        <v>2</v>
      </c>
      <c r="D5" s="22" t="n">
        <v>1</v>
      </c>
      <c r="E5" s="22" t="inlineStr">
        <is>
          <t>22, 46</t>
        </is>
      </c>
      <c r="F5" s="22" t="inlineStr">
        <is>
          <t>Functional</t>
        </is>
      </c>
      <c r="G5" s="22" t="inlineStr">
        <is>
          <t>✅ Covered</t>
        </is>
      </c>
    </row>
    <row r="6" ht="22" customHeight="1">
      <c r="A6" s="23" t="inlineStr">
        <is>
          <t>VIPI</t>
        </is>
      </c>
      <c r="B6" s="23">
        <f>COUNTIF('Test Plan Matrix'!D:D,"VIPI")</f>
        <v/>
      </c>
      <c r="C6" s="23" t="n">
        <v>1</v>
      </c>
      <c r="D6" s="23" t="n">
        <v>1</v>
      </c>
      <c r="E6" s="23" t="inlineStr">
        <is>
          <t>48</t>
        </is>
      </c>
      <c r="F6" s="23" t="inlineStr">
        <is>
          <t>Negative</t>
        </is>
      </c>
      <c r="G6" s="23" t="inlineStr">
        <is>
          <t>✅ Covered</t>
        </is>
      </c>
    </row>
    <row r="7" ht="22" customHeight="1">
      <c r="A7" s="22" t="inlineStr">
        <is>
          <t>Multi-Sys</t>
        </is>
      </c>
      <c r="B7" s="22" t="n">
        <v>1</v>
      </c>
      <c r="C7" s="22" t="n">
        <v>1</v>
      </c>
      <c r="D7" s="22" t="n">
        <v>0</v>
      </c>
      <c r="E7" s="22" t="inlineStr">
        <is>
          <t>124, 62, 46</t>
        </is>
      </c>
      <c r="F7" s="22" t="inlineStr">
        <is>
          <t>Integration</t>
        </is>
      </c>
      <c r="G7" s="22" t="inlineStr">
        <is>
          <t>✅ Covered</t>
        </is>
      </c>
    </row>
    <row r="8" ht="22" customHeight="1">
      <c r="A8" s="24" t="inlineStr">
        <is>
          <t>TOTAL</t>
        </is>
      </c>
      <c r="B8" s="24">
        <f>SUM(B3:B7)</f>
        <v/>
      </c>
      <c r="C8" s="24">
        <f>SUM(C3:C7)</f>
        <v/>
      </c>
      <c r="D8" s="24">
        <f>SUM(D3:D7)</f>
        <v/>
      </c>
      <c r="E8" s="24" t="inlineStr">
        <is>
          <t>3, 4, 22, 46, 48, 55, 62, 63, 124</t>
        </is>
      </c>
      <c r="F8" s="24" t="inlineStr">
        <is>
          <t>5 Types</t>
        </is>
      </c>
      <c r="G8" s="24" t="inlineStr"/>
    </row>
    <row r="10">
      <c r="A10" s="25" t="inlineStr">
        <is>
          <t>Notes:</t>
        </is>
      </c>
    </row>
    <row r="11">
      <c r="A11" s="26" t="inlineStr">
        <is>
          <t>• All P1 test cases must pass before production release approval</t>
        </is>
      </c>
    </row>
    <row r="12">
      <c r="A12" s="26" t="inlineStr">
        <is>
          <t>• UMF 124 (DE 124) Byte 3 Bit 1 is the PRIMARY DCC indicator — TC-001 is mandatory</t>
        </is>
      </c>
    </row>
    <row r="13">
      <c r="A13" s="26" t="inlineStr">
        <is>
          <t>• Cross-system test TC-009 validates data integrity between auth (VIPA) and clearing (VIPB)</t>
        </is>
      </c>
    </row>
    <row r="14">
      <c r="A14" s="26" t="inlineStr">
        <is>
          <t>• Log pull window: 5 minutes post-activation time. UMF filters: 124, 62, 46, 48, 55</t>
        </is>
      </c>
    </row>
    <row r="15">
      <c r="A15" s="26" t="inlineStr">
        <is>
          <t>• Feature contact: DCC Product Team &lt;dcc-product@visa.com&gt;</t>
        </is>
      </c>
    </row>
  </sheetData>
  <mergeCells count="6">
    <mergeCell ref="A13:G13"/>
    <mergeCell ref="A14:G14"/>
    <mergeCell ref="A1:G1"/>
    <mergeCell ref="A12:G12"/>
    <mergeCell ref="A15:G1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2026-03-15T05:47:52Z</dcterms:created>
  <dcterms:modified xmlns:dcterms="http://purl.org/dc/terms/" xmlns:xsi="http://www.w3.org/2001/XMLSchema-instance" xsi:type="dcterms:W3CDTF">2026-03-15T05:47:52Z</dcterms:modified>
</cp:coreProperties>
</file>